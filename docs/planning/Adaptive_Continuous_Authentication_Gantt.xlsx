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ntt Chart" sheetId="1" r:id="rId1"/>
    <sheet name="Notes" sheetId="2" r:id="rId2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numFmtId="164" applyNumberFormat="1" fontId="0" fillId="0" borderId="0" xfId="0"/>
  </cellXfs>
  <cellStyles count="1">
    <cellStyle name="Normal" xfId="0" builtinId="0"/>
  </cellStyles>
  <dxfs count="2">
    <dxf>
      <fill>
        <patternFill patternType="solid">
          <fgColor rgb="FF158575"/>
          <bgColor indexed="64"/>
        </patternFill>
      </fill>
    </dxf>
    <dxf>
      <fill>
        <patternFill patternType="solid">
          <fgColor rgb="FF3975B8"/>
          <bgColor indexed="6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5" topLeftCell="C6" activePane="bottomRight" state="frozen"/>
    </sheetView>
  </sheetViews>
  <cols>
    <col min="1" max="1" width="8" customWidth="1"/>
    <col min="2" max="2" width="57" customWidth="1"/>
    <col min="3" max="4" width="12" customWidth="1"/>
    <col min="5" max="6" width="19" customWidth="1"/>
    <col min="7" max="12" width="10" customWidth="1"/>
  </cols>
  <sheetData>
    <row r="1">
      <c r="A1" s="0" t="inlineStr">
        <is>
          <t>Adaptive Continuous Authentication — Gantt Chart</t>
        </is>
      </c>
    </row>
    <row r="2">
      <c r="A2" s="0" t="inlineStr">
        <is>
          <t>Edit Start / End week (1–6); timeline bars recalculate in Excel.</t>
        </is>
      </c>
    </row>
    <row r="3">
      <c r="A3" s="0" t="inlineStr">
        <is>
          <t>Weeks 1–3 are indicative retrospective allocations; Weeks 4–6 are plans.</t>
        </is>
      </c>
    </row>
    <row r="5">
      <c r="A5" s="0" t="inlineStr">
        <is>
          <t>ID</t>
        </is>
      </c>
      <c r="B5" s="0" t="inlineStr">
        <is>
          <t>Task</t>
        </is>
      </c>
      <c r="C5" s="0" t="inlineStr">
        <is>
          <t>Start week</t>
        </is>
      </c>
      <c r="D5" s="0" t="inlineStr">
        <is>
          <t>End week</t>
        </is>
      </c>
      <c r="E5" s="0" t="inlineStr">
        <is>
          <t>Status</t>
        </is>
      </c>
      <c r="F5" s="0" t="inlineStr">
        <is>
          <t>Dependencies</t>
        </is>
      </c>
      <c r="G5" s="0">
        <v>1</v>
      </c>
      <c r="H5" s="0">
        <v>2</v>
      </c>
      <c r="I5" s="0">
        <v>3</v>
      </c>
      <c r="J5" s="0">
        <v>4</v>
      </c>
      <c r="K5" s="0">
        <v>5</v>
      </c>
      <c r="L5" s="0">
        <v>6</v>
      </c>
    </row>
    <row r="6" ht="25" customHeight="1">
      <c r="A6" s="0" t="inlineStr">
        <is>
          <t>T01</t>
        </is>
      </c>
      <c r="B6" s="0" t="inlineStr">
        <is>
          <t>Requirements and project scope</t>
        </is>
      </c>
      <c r="C6" s="0">
        <v>1</v>
      </c>
      <c r="D6" s="0">
        <v>1</v>
      </c>
      <c r="E6" s="0" t="inlineStr">
        <is>
          <t>Completed</t>
        </is>
      </c>
      <c r="F6" s="0" t="inlineStr">
        <is>
          <t>—</t>
        </is>
      </c>
      <c r="G6" s="1">
        <f>IF(AND(G$5&gt;=$C6,G$5&lt;=$D6),IF($E6="Completed",1,2),0)</f>
        <v>1</v>
      </c>
      <c r="H6" s="1">
        <f>IF(AND(H$5&gt;=$C6,H$5&lt;=$D6),IF($E6="Completed",1,2),0)</f>
        <v>0</v>
      </c>
      <c r="I6" s="1">
        <f>IF(AND(I$5&gt;=$C6,I$5&lt;=$D6),IF($E6="Completed",1,2),0)</f>
        <v>0</v>
      </c>
      <c r="J6" s="1">
        <f>IF(AND(J$5&gt;=$C6,J$5&lt;=$D6),IF($E6="Completed",1,2),0)</f>
        <v>0</v>
      </c>
      <c r="K6" s="1">
        <f>IF(AND(K$5&gt;=$C6,K$5&lt;=$D6),IF($E6="Completed",1,2),0)</f>
        <v>0</v>
      </c>
      <c r="L6" s="1">
        <f>IF(AND(L$5&gt;=$C6,L$5&lt;=$D6),IF($E6="Completed",1,2),0)</f>
        <v>0</v>
      </c>
    </row>
    <row r="7" ht="25" customHeight="1">
      <c r="A7" s="0" t="inlineStr">
        <is>
          <t>T02</t>
        </is>
      </c>
      <c r="B7" s="0" t="inlineStr">
        <is>
          <t>Proposal and system design</t>
        </is>
      </c>
      <c r="C7" s="0">
        <v>1</v>
      </c>
      <c r="D7" s="0">
        <v>2</v>
      </c>
      <c r="E7" s="0" t="inlineStr">
        <is>
          <t>Completed</t>
        </is>
      </c>
      <c r="F7" s="0" t="inlineStr">
        <is>
          <t>T01</t>
        </is>
      </c>
      <c r="G7" s="1">
        <f>IF(AND(G$5&gt;=$C7,G$5&lt;=$D7),IF($E7="Completed",1,2),0)</f>
        <v>1</v>
      </c>
      <c r="H7" s="1">
        <f>IF(AND(H$5&gt;=$C7,H$5&lt;=$D7),IF($E7="Completed",1,2),0)</f>
        <v>1</v>
      </c>
      <c r="I7" s="1">
        <f>IF(AND(I$5&gt;=$C7,I$5&lt;=$D7),IF($E7="Completed",1,2),0)</f>
        <v>0</v>
      </c>
      <c r="J7" s="1">
        <f>IF(AND(J$5&gt;=$C7,J$5&lt;=$D7),IF($E7="Completed",1,2),0)</f>
        <v>0</v>
      </c>
      <c r="K7" s="1">
        <f>IF(AND(K$5&gt;=$C7,K$5&lt;=$D7),IF($E7="Completed",1,2),0)</f>
        <v>0</v>
      </c>
      <c r="L7" s="1">
        <f>IF(AND(L$5&gt;=$C7,L$5&lt;=$D7),IF($E7="Completed",1,2),0)</f>
        <v>0</v>
      </c>
    </row>
    <row r="8" ht="25" customHeight="1">
      <c r="A8" s="0" t="inlineStr">
        <is>
          <t>T03</t>
        </is>
      </c>
      <c r="B8" s="0" t="inlineStr">
        <is>
          <t>Keyboard event collector</t>
        </is>
      </c>
      <c r="C8" s="0">
        <v>1</v>
      </c>
      <c r="D8" s="0">
        <v>1</v>
      </c>
      <c r="E8" s="0" t="inlineStr">
        <is>
          <t>Completed</t>
        </is>
      </c>
      <c r="F8" s="0" t="inlineStr">
        <is>
          <t>T01</t>
        </is>
      </c>
      <c r="G8" s="1">
        <f>IF(AND(G$5&gt;=$C8,G$5&lt;=$D8),IF($E8="Completed",1,2),0)</f>
        <v>1</v>
      </c>
      <c r="H8" s="1">
        <f>IF(AND(H$5&gt;=$C8,H$5&lt;=$D8),IF($E8="Completed",1,2),0)</f>
        <v>0</v>
      </c>
      <c r="I8" s="1">
        <f>IF(AND(I$5&gt;=$C8,I$5&lt;=$D8),IF($E8="Completed",1,2),0)</f>
        <v>0</v>
      </c>
      <c r="J8" s="1">
        <f>IF(AND(J$5&gt;=$C8,J$5&lt;=$D8),IF($E8="Completed",1,2),0)</f>
        <v>0</v>
      </c>
      <c r="K8" s="1">
        <f>IF(AND(K$5&gt;=$C8,K$5&lt;=$D8),IF($E8="Completed",1,2),0)</f>
        <v>0</v>
      </c>
      <c r="L8" s="1">
        <f>IF(AND(L$5&gt;=$C8,L$5&lt;=$D8),IF($E8="Completed",1,2),0)</f>
        <v>0</v>
      </c>
    </row>
    <row r="9" ht="25" customHeight="1">
      <c r="A9" s="0" t="inlineStr">
        <is>
          <t>T04</t>
        </is>
      </c>
      <c r="B9" s="0" t="inlineStr">
        <is>
          <t>HMAC identifiers and protected storage</t>
        </is>
      </c>
      <c r="C9" s="0">
        <v>1</v>
      </c>
      <c r="D9" s="0">
        <v>1</v>
      </c>
      <c r="E9" s="0" t="inlineStr">
        <is>
          <t>Completed</t>
        </is>
      </c>
      <c r="F9" s="0" t="inlineStr">
        <is>
          <t>T03</t>
        </is>
      </c>
      <c r="G9" s="1">
        <f>IF(AND(G$5&gt;=$C9,G$5&lt;=$D9),IF($E9="Completed",1,2),0)</f>
        <v>1</v>
      </c>
      <c r="H9" s="1">
        <f>IF(AND(H$5&gt;=$C9,H$5&lt;=$D9),IF($E9="Completed",1,2),0)</f>
        <v>0</v>
      </c>
      <c r="I9" s="1">
        <f>IF(AND(I$5&gt;=$C9,I$5&lt;=$D9),IF($E9="Completed",1,2),0)</f>
        <v>0</v>
      </c>
      <c r="J9" s="1">
        <f>IF(AND(J$5&gt;=$C9,J$5&lt;=$D9),IF($E9="Completed",1,2),0)</f>
        <v>0</v>
      </c>
      <c r="K9" s="1">
        <f>IF(AND(K$5&gt;=$C9,K$5&lt;=$D9),IF($E9="Completed",1,2),0)</f>
        <v>0</v>
      </c>
      <c r="L9" s="1">
        <f>IF(AND(L$5&gt;=$C9,L$5&lt;=$D9),IF($E9="Completed",1,2),0)</f>
        <v>0</v>
      </c>
    </row>
    <row r="10" ht="25" customHeight="1">
      <c r="A10" s="0" t="inlineStr">
        <is>
          <t>T05</t>
        </is>
      </c>
      <c r="B10" s="0" t="inlineStr">
        <is>
          <t>Hold / flight timing extraction</t>
        </is>
      </c>
      <c r="C10" s="0">
        <v>1</v>
      </c>
      <c r="D10" s="0">
        <v>1</v>
      </c>
      <c r="E10" s="0" t="inlineStr">
        <is>
          <t>Completed</t>
        </is>
      </c>
      <c r="F10" s="0" t="inlineStr">
        <is>
          <t>T04</t>
        </is>
      </c>
      <c r="G10" s="1">
        <f>IF(AND(G$5&gt;=$C10,G$5&lt;=$D10),IF($E10="Completed",1,2),0)</f>
        <v>1</v>
      </c>
      <c r="H10" s="1">
        <f>IF(AND(H$5&gt;=$C10,H$5&lt;=$D10),IF($E10="Completed",1,2),0)</f>
        <v>0</v>
      </c>
      <c r="I10" s="1">
        <f>IF(AND(I$5&gt;=$C10,I$5&lt;=$D10),IF($E10="Completed",1,2),0)</f>
        <v>0</v>
      </c>
      <c r="J10" s="1">
        <f>IF(AND(J$5&gt;=$C10,J$5&lt;=$D10),IF($E10="Completed",1,2),0)</f>
        <v>0</v>
      </c>
      <c r="K10" s="1">
        <f>IF(AND(K$5&gt;=$C10,K$5&lt;=$D10),IF($E10="Completed",1,2),0)</f>
        <v>0</v>
      </c>
      <c r="L10" s="1">
        <f>IF(AND(L$5&gt;=$C10,L$5&lt;=$D10),IF($E10="Completed",1,2),0)</f>
        <v>0</v>
      </c>
    </row>
    <row r="11" ht="25" customHeight="1">
      <c r="A11" s="0" t="inlineStr">
        <is>
          <t>T06</t>
        </is>
      </c>
      <c r="B11" s="0" t="inlineStr">
        <is>
          <t>10-second windows and activity flag</t>
        </is>
      </c>
      <c r="C11" s="0">
        <v>1</v>
      </c>
      <c r="D11" s="0">
        <v>1</v>
      </c>
      <c r="E11" s="0" t="inlineStr">
        <is>
          <t>Completed</t>
        </is>
      </c>
      <c r="F11" s="0" t="inlineStr">
        <is>
          <t>T05</t>
        </is>
      </c>
      <c r="G11" s="1">
        <f>IF(AND(G$5&gt;=$C11,G$5&lt;=$D11),IF($E11="Completed",1,2),0)</f>
        <v>1</v>
      </c>
      <c r="H11" s="1">
        <f>IF(AND(H$5&gt;=$C11,H$5&lt;=$D11),IF($E11="Completed",1,2),0)</f>
        <v>0</v>
      </c>
      <c r="I11" s="1">
        <f>IF(AND(I$5&gt;=$C11,I$5&lt;=$D11),IF($E11="Completed",1,2),0)</f>
        <v>0</v>
      </c>
      <c r="J11" s="1">
        <f>IF(AND(J$5&gt;=$C11,J$5&lt;=$D11),IF($E11="Completed",1,2),0)</f>
        <v>0</v>
      </c>
      <c r="K11" s="1">
        <f>IF(AND(K$5&gt;=$C11,K$5&lt;=$D11),IF($E11="Completed",1,2),0)</f>
        <v>0</v>
      </c>
      <c r="L11" s="1">
        <f>IF(AND(L$5&gt;=$C11,L$5&lt;=$D11),IF($E11="Completed",1,2),0)</f>
        <v>0</v>
      </c>
    </row>
    <row r="12" ht="25" customHeight="1">
      <c r="A12" s="0" t="inlineStr">
        <is>
          <t>T07</t>
        </is>
      </c>
      <c r="B12" s="0" t="inlineStr">
        <is>
          <t>Level 0 / Level 1 and use-case diagrams</t>
        </is>
      </c>
      <c r="C12" s="0">
        <v>2</v>
      </c>
      <c r="D12" s="0">
        <v>2</v>
      </c>
      <c r="E12" s="0" t="inlineStr">
        <is>
          <t>Completed</t>
        </is>
      </c>
      <c r="F12" s="0" t="inlineStr">
        <is>
          <t>T02</t>
        </is>
      </c>
      <c r="G12" s="1">
        <f>IF(AND(G$5&gt;=$C12,G$5&lt;=$D12),IF($E12="Completed",1,2),0)</f>
        <v>0</v>
      </c>
      <c r="H12" s="1">
        <f>IF(AND(H$5&gt;=$C12,H$5&lt;=$D12),IF($E12="Completed",1,2),0)</f>
        <v>1</v>
      </c>
      <c r="I12" s="1">
        <f>IF(AND(I$5&gt;=$C12,I$5&lt;=$D12),IF($E12="Completed",1,2),0)</f>
        <v>0</v>
      </c>
      <c r="J12" s="1">
        <f>IF(AND(J$5&gt;=$C12,J$5&lt;=$D12),IF($E12="Completed",1,2),0)</f>
        <v>0</v>
      </c>
      <c r="K12" s="1">
        <f>IF(AND(K$5&gt;=$C12,K$5&lt;=$D12),IF($E12="Completed",1,2),0)</f>
        <v>0</v>
      </c>
      <c r="L12" s="1">
        <f>IF(AND(L$5&gt;=$C12,L$5&lt;=$D12),IF($E12="Completed",1,2),0)</f>
        <v>0</v>
      </c>
    </row>
    <row r="13" ht="25" customHeight="1">
      <c r="A13" s="0" t="inlineStr">
        <is>
          <t>T08</t>
        </is>
      </c>
      <c r="B13" s="0" t="inlineStr">
        <is>
          <t>Project presentation</t>
        </is>
      </c>
      <c r="C13" s="0">
        <v>2</v>
      </c>
      <c r="D13" s="0">
        <v>2</v>
      </c>
      <c r="E13" s="0" t="inlineStr">
        <is>
          <t>Completed</t>
        </is>
      </c>
      <c r="F13" s="0" t="inlineStr">
        <is>
          <t>T02</t>
        </is>
      </c>
      <c r="G13" s="1">
        <f>IF(AND(G$5&gt;=$C13,G$5&lt;=$D13),IF($E13="Completed",1,2),0)</f>
        <v>0</v>
      </c>
      <c r="H13" s="1">
        <f>IF(AND(H$5&gt;=$C13,H$5&lt;=$D13),IF($E13="Completed",1,2),0)</f>
        <v>1</v>
      </c>
      <c r="I13" s="1">
        <f>IF(AND(I$5&gt;=$C13,I$5&lt;=$D13),IF($E13="Completed",1,2),0)</f>
        <v>0</v>
      </c>
      <c r="J13" s="1">
        <f>IF(AND(J$5&gt;=$C13,J$5&lt;=$D13),IF($E13="Completed",1,2),0)</f>
        <v>0</v>
      </c>
      <c r="K13" s="1">
        <f>IF(AND(K$5&gt;=$C13,K$5&lt;=$D13),IF($E13="Completed",1,2),0)</f>
        <v>0</v>
      </c>
      <c r="L13" s="1">
        <f>IF(AND(L$5&gt;=$C13,L$5&lt;=$D13),IF($E13="Completed",1,2),0)</f>
        <v>0</v>
      </c>
    </row>
    <row r="14" ht="25" customHeight="1">
      <c r="A14" s="0" t="inlineStr">
        <is>
          <t>T09</t>
        </is>
      </c>
      <c r="B14" s="0" t="inlineStr">
        <is>
          <t>Isolation Forest pipeline</t>
        </is>
      </c>
      <c r="C14" s="0">
        <v>3</v>
      </c>
      <c r="D14" s="0">
        <v>3</v>
      </c>
      <c r="E14" s="0" t="inlineStr">
        <is>
          <t>Completed</t>
        </is>
      </c>
      <c r="F14" s="0" t="inlineStr">
        <is>
          <t>T06</t>
        </is>
      </c>
      <c r="G14" s="1">
        <f>IF(AND(G$5&gt;=$C14,G$5&lt;=$D14),IF($E14="Completed",1,2),0)</f>
        <v>0</v>
      </c>
      <c r="H14" s="1">
        <f>IF(AND(H$5&gt;=$C14,H$5&lt;=$D14),IF($E14="Completed",1,2),0)</f>
        <v>0</v>
      </c>
      <c r="I14" s="1">
        <f>IF(AND(I$5&gt;=$C14,I$5&lt;=$D14),IF($E14="Completed",1,2),0)</f>
        <v>1</v>
      </c>
      <c r="J14" s="1">
        <f>IF(AND(J$5&gt;=$C14,J$5&lt;=$D14),IF($E14="Completed",1,2),0)</f>
        <v>0</v>
      </c>
      <c r="K14" s="1">
        <f>IF(AND(K$5&gt;=$C14,K$5&lt;=$D14),IF($E14="Completed",1,2),0)</f>
        <v>0</v>
      </c>
      <c r="L14" s="1">
        <f>IF(AND(L$5&gt;=$C14,L$5&lt;=$D14),IF($E14="Completed",1,2),0)</f>
        <v>0</v>
      </c>
    </row>
    <row r="15" ht="25" customHeight="1">
      <c r="A15" s="0" t="inlineStr">
        <is>
          <t>T10</t>
        </is>
      </c>
      <c r="B15" s="0" t="inlineStr">
        <is>
          <t>Trust mapping and decision engine</t>
        </is>
      </c>
      <c r="C15" s="0">
        <v>3</v>
      </c>
      <c r="D15" s="0">
        <v>3</v>
      </c>
      <c r="E15" s="0" t="inlineStr">
        <is>
          <t>Completed</t>
        </is>
      </c>
      <c r="F15" s="0" t="inlineStr">
        <is>
          <t>T09</t>
        </is>
      </c>
      <c r="G15" s="1">
        <f>IF(AND(G$5&gt;=$C15,G$5&lt;=$D15),IF($E15="Completed",1,2),0)</f>
        <v>0</v>
      </c>
      <c r="H15" s="1">
        <f>IF(AND(H$5&gt;=$C15,H$5&lt;=$D15),IF($E15="Completed",1,2),0)</f>
        <v>0</v>
      </c>
      <c r="I15" s="1">
        <f>IF(AND(I$5&gt;=$C15,I$5&lt;=$D15),IF($E15="Completed",1,2),0)</f>
        <v>1</v>
      </c>
      <c r="J15" s="1">
        <f>IF(AND(J$5&gt;=$C15,J$5&lt;=$D15),IF($E15="Completed",1,2),0)</f>
        <v>0</v>
      </c>
      <c r="K15" s="1">
        <f>IF(AND(K$5&gt;=$C15,K$5&lt;=$D15),IF($E15="Completed",1,2),0)</f>
        <v>0</v>
      </c>
      <c r="L15" s="1">
        <f>IF(AND(L$5&gt;=$C15,L$5&lt;=$D15),IF($E15="Completed",1,2),0)</f>
        <v>0</v>
      </c>
    </row>
    <row r="16" ht="25" customHeight="1">
      <c r="A16" s="0" t="inlineStr">
        <is>
          <t>T11</t>
        </is>
      </c>
      <c r="B16" s="0" t="inlineStr">
        <is>
          <t>Flask dashboard and live capture</t>
        </is>
      </c>
      <c r="C16" s="0">
        <v>3</v>
      </c>
      <c r="D16" s="0">
        <v>3</v>
      </c>
      <c r="E16" s="0" t="inlineStr">
        <is>
          <t>Completed</t>
        </is>
      </c>
      <c r="F16" s="0" t="inlineStr">
        <is>
          <t>T10</t>
        </is>
      </c>
      <c r="G16" s="1">
        <f>IF(AND(G$5&gt;=$C16,G$5&lt;=$D16),IF($E16="Completed",1,2),0)</f>
        <v>0</v>
      </c>
      <c r="H16" s="1">
        <f>IF(AND(H$5&gt;=$C16,H$5&lt;=$D16),IF($E16="Completed",1,2),0)</f>
        <v>0</v>
      </c>
      <c r="I16" s="1">
        <f>IF(AND(I$5&gt;=$C16,I$5&lt;=$D16),IF($E16="Completed",1,2),0)</f>
        <v>1</v>
      </c>
      <c r="J16" s="1">
        <f>IF(AND(J$5&gt;=$C16,J$5&lt;=$D16),IF($E16="Completed",1,2),0)</f>
        <v>0</v>
      </c>
      <c r="K16" s="1">
        <f>IF(AND(K$5&gt;=$C16,K$5&lt;=$D16),IF($E16="Completed",1,2),0)</f>
        <v>0</v>
      </c>
      <c r="L16" s="1">
        <f>IF(AND(L$5&gt;=$C16,L$5&lt;=$D16),IF($E16="Completed",1,2),0)</f>
        <v>0</v>
      </c>
    </row>
    <row r="17" ht="25" customHeight="1">
      <c r="A17" s="0" t="inlineStr">
        <is>
          <t>T12</t>
        </is>
      </c>
      <c r="B17" s="0" t="inlineStr">
        <is>
          <t>Replay and integration checks</t>
        </is>
      </c>
      <c r="C17" s="0">
        <v>3</v>
      </c>
      <c r="D17" s="0">
        <v>3</v>
      </c>
      <c r="E17" s="0" t="inlineStr">
        <is>
          <t>Completed</t>
        </is>
      </c>
      <c r="F17" s="0" t="inlineStr">
        <is>
          <t>T11</t>
        </is>
      </c>
      <c r="G17" s="1">
        <f>IF(AND(G$5&gt;=$C17,G$5&lt;=$D17),IF($E17="Completed",1,2),0)</f>
        <v>0</v>
      </c>
      <c r="H17" s="1">
        <f>IF(AND(H$5&gt;=$C17,H$5&lt;=$D17),IF($E17="Completed",1,2),0)</f>
        <v>0</v>
      </c>
      <c r="I17" s="1">
        <f>IF(AND(I$5&gt;=$C17,I$5&lt;=$D17),IF($E17="Completed",1,2),0)</f>
        <v>1</v>
      </c>
      <c r="J17" s="1">
        <f>IF(AND(J$5&gt;=$C17,J$5&lt;=$D17),IF($E17="Completed",1,2),0)</f>
        <v>0</v>
      </c>
      <c r="K17" s="1">
        <f>IF(AND(K$5&gt;=$C17,K$5&lt;=$D17),IF($E17="Completed",1,2),0)</f>
        <v>0</v>
      </c>
      <c r="L17" s="1">
        <f>IF(AND(L$5&gt;=$C17,L$5&lt;=$D17),IF($E17="Completed",1,2),0)</f>
        <v>0</v>
      </c>
    </row>
    <row r="18" ht="25" customHeight="1">
      <c r="A18" s="0" t="inlineStr">
        <is>
          <t>T13</t>
        </is>
      </c>
      <c r="B18" s="0" t="inlineStr">
        <is>
          <t>Revised proposal, Level 2 DFD and schedule</t>
        </is>
      </c>
      <c r="C18" s="0">
        <v>3</v>
      </c>
      <c r="D18" s="0">
        <v>3</v>
      </c>
      <c r="E18" s="0" t="inlineStr">
        <is>
          <t>Completed</t>
        </is>
      </c>
      <c r="F18" s="0" t="inlineStr">
        <is>
          <t>T07,T10</t>
        </is>
      </c>
      <c r="G18" s="1">
        <f>IF(AND(G$5&gt;=$C18,G$5&lt;=$D18),IF($E18="Completed",1,2),0)</f>
        <v>0</v>
      </c>
      <c r="H18" s="1">
        <f>IF(AND(H$5&gt;=$C18,H$5&lt;=$D18),IF($E18="Completed",1,2),0)</f>
        <v>0</v>
      </c>
      <c r="I18" s="1">
        <f>IF(AND(I$5&gt;=$C18,I$5&lt;=$D18),IF($E18="Completed",1,2),0)</f>
        <v>1</v>
      </c>
      <c r="J18" s="1">
        <f>IF(AND(J$5&gt;=$C18,J$5&lt;=$D18),IF($E18="Completed",1,2),0)</f>
        <v>0</v>
      </c>
      <c r="K18" s="1">
        <f>IF(AND(K$5&gt;=$C18,K$5&lt;=$D18),IF($E18="Completed",1,2),0)</f>
        <v>0</v>
      </c>
      <c r="L18" s="1">
        <f>IF(AND(L$5&gt;=$C18,L$5&lt;=$D18),IF($E18="Completed",1,2),0)</f>
        <v>0</v>
      </c>
    </row>
    <row r="19" ht="25" customHeight="1">
      <c r="A19" s="0" t="inlineStr">
        <is>
          <t>T14</t>
        </is>
      </c>
      <c r="B19" s="0" t="inlineStr">
        <is>
          <t>Additional users and recording sessions</t>
        </is>
      </c>
      <c r="C19" s="0">
        <v>4</v>
      </c>
      <c r="D19" s="0">
        <v>4</v>
      </c>
      <c r="E19" s="0" t="inlineStr">
        <is>
          <t>Planned</t>
        </is>
      </c>
      <c r="F19" s="0" t="inlineStr">
        <is>
          <t>T12</t>
        </is>
      </c>
      <c r="G19" s="1">
        <f>IF(AND(G$5&gt;=$C19,G$5&lt;=$D19),IF($E19="Completed",1,2),0)</f>
        <v>0</v>
      </c>
      <c r="H19" s="1">
        <f>IF(AND(H$5&gt;=$C19,H$5&lt;=$D19),IF($E19="Completed",1,2),0)</f>
        <v>0</v>
      </c>
      <c r="I19" s="1">
        <f>IF(AND(I$5&gt;=$C19,I$5&lt;=$D19),IF($E19="Completed",1,2),0)</f>
        <v>0</v>
      </c>
      <c r="J19" s="1">
        <f>IF(AND(J$5&gt;=$C19,J$5&lt;=$D19),IF($E19="Completed",1,2),0)</f>
        <v>2</v>
      </c>
      <c r="K19" s="1">
        <f>IF(AND(K$5&gt;=$C19,K$5&lt;=$D19),IF($E19="Completed",1,2),0)</f>
        <v>0</v>
      </c>
      <c r="L19" s="1">
        <f>IF(AND(L$5&gt;=$C19,L$5&lt;=$D19),IF($E19="Completed",1,2),0)</f>
        <v>0</v>
      </c>
    </row>
    <row r="20" ht="25" customHeight="1">
      <c r="A20" s="0" t="inlineStr">
        <is>
          <t>T15</t>
        </is>
      </c>
      <c r="B20" s="0" t="inlineStr">
        <is>
          <t>Feature quality and held-out session split</t>
        </is>
      </c>
      <c r="C20" s="0">
        <v>4</v>
      </c>
      <c r="D20" s="0">
        <v>4</v>
      </c>
      <c r="E20" s="0" t="inlineStr">
        <is>
          <t>Planned</t>
        </is>
      </c>
      <c r="F20" s="0" t="inlineStr">
        <is>
          <t>T14</t>
        </is>
      </c>
      <c r="G20" s="1">
        <f>IF(AND(G$5&gt;=$C20,G$5&lt;=$D20),IF($E20="Completed",1,2),0)</f>
        <v>0</v>
      </c>
      <c r="H20" s="1">
        <f>IF(AND(H$5&gt;=$C20,H$5&lt;=$D20),IF($E20="Completed",1,2),0)</f>
        <v>0</v>
      </c>
      <c r="I20" s="1">
        <f>IF(AND(I$5&gt;=$C20,I$5&lt;=$D20),IF($E20="Completed",1,2),0)</f>
        <v>0</v>
      </c>
      <c r="J20" s="1">
        <f>IF(AND(J$5&gt;=$C20,J$5&lt;=$D20),IF($E20="Completed",1,2),0)</f>
        <v>2</v>
      </c>
      <c r="K20" s="1">
        <f>IF(AND(K$5&gt;=$C20,K$5&lt;=$D20),IF($E20="Completed",1,2),0)</f>
        <v>0</v>
      </c>
      <c r="L20" s="1">
        <f>IF(AND(L$5&gt;=$C20,L$5&lt;=$D20),IF($E20="Completed",1,2),0)</f>
        <v>0</v>
      </c>
    </row>
    <row r="21" ht="25" customHeight="1">
      <c r="A21" s="0" t="inlineStr">
        <is>
          <t>T16</t>
        </is>
      </c>
      <c r="B21" s="0" t="inlineStr">
        <is>
          <t>Retrain and evaluate baseline</t>
        </is>
      </c>
      <c r="C21" s="0">
        <v>5</v>
      </c>
      <c r="D21" s="0">
        <v>5</v>
      </c>
      <c r="E21" s="0" t="inlineStr">
        <is>
          <t>Planned</t>
        </is>
      </c>
      <c r="F21" s="0" t="inlineStr">
        <is>
          <t>T15</t>
        </is>
      </c>
      <c r="G21" s="1">
        <f>IF(AND(G$5&gt;=$C21,G$5&lt;=$D21),IF($E21="Completed",1,2),0)</f>
        <v>0</v>
      </c>
      <c r="H21" s="1">
        <f>IF(AND(H$5&gt;=$C21,H$5&lt;=$D21),IF($E21="Completed",1,2),0)</f>
        <v>0</v>
      </c>
      <c r="I21" s="1">
        <f>IF(AND(I$5&gt;=$C21,I$5&lt;=$D21),IF($E21="Completed",1,2),0)</f>
        <v>0</v>
      </c>
      <c r="J21" s="1">
        <f>IF(AND(J$5&gt;=$C21,J$5&lt;=$D21),IF($E21="Completed",1,2),0)</f>
        <v>0</v>
      </c>
      <c r="K21" s="1">
        <f>IF(AND(K$5&gt;=$C21,K$5&lt;=$D21),IF($E21="Completed",1,2),0)</f>
        <v>2</v>
      </c>
      <c r="L21" s="1">
        <f>IF(AND(L$5&gt;=$C21,L$5&lt;=$D21),IF($E21="Completed",1,2),0)</f>
        <v>0</v>
      </c>
    </row>
    <row r="22" ht="25" customHeight="1">
      <c r="A22" s="0" t="inlineStr">
        <is>
          <t>T17</t>
        </is>
      </c>
      <c r="B22" s="0" t="inlineStr">
        <is>
          <t>Takeover trials and threshold review</t>
        </is>
      </c>
      <c r="C22" s="0">
        <v>5</v>
      </c>
      <c r="D22" s="0">
        <v>5</v>
      </c>
      <c r="E22" s="0" t="inlineStr">
        <is>
          <t>Planned</t>
        </is>
      </c>
      <c r="F22" s="0" t="inlineStr">
        <is>
          <t>T16</t>
        </is>
      </c>
      <c r="G22" s="1">
        <f>IF(AND(G$5&gt;=$C22,G$5&lt;=$D22),IF($E22="Completed",1,2),0)</f>
        <v>0</v>
      </c>
      <c r="H22" s="1">
        <f>IF(AND(H$5&gt;=$C22,H$5&lt;=$D22),IF($E22="Completed",1,2),0)</f>
        <v>0</v>
      </c>
      <c r="I22" s="1">
        <f>IF(AND(I$5&gt;=$C22,I$5&lt;=$D22),IF($E22="Completed",1,2),0)</f>
        <v>0</v>
      </c>
      <c r="J22" s="1">
        <f>IF(AND(J$5&gt;=$C22,J$5&lt;=$D22),IF($E22="Completed",1,2),0)</f>
        <v>0</v>
      </c>
      <c r="K22" s="1">
        <f>IF(AND(K$5&gt;=$C22,K$5&lt;=$D22),IF($E22="Completed",1,2),0)</f>
        <v>2</v>
      </c>
      <c r="L22" s="1">
        <f>IF(AND(L$5&gt;=$C22,L$5&lt;=$D22),IF($E22="Completed",1,2),0)</f>
        <v>0</v>
      </c>
    </row>
    <row r="23" ht="25" customHeight="1">
      <c r="A23" s="0" t="inlineStr">
        <is>
          <t>T18</t>
        </is>
      </c>
      <c r="B23" s="0" t="inlineStr">
        <is>
          <t>Latency and false-accept / reject report</t>
        </is>
      </c>
      <c r="C23" s="0">
        <v>5</v>
      </c>
      <c r="D23" s="0">
        <v>6</v>
      </c>
      <c r="E23" s="0" t="inlineStr">
        <is>
          <t>Planned</t>
        </is>
      </c>
      <c r="F23" s="0" t="inlineStr">
        <is>
          <t>T17</t>
        </is>
      </c>
      <c r="G23" s="1">
        <f>IF(AND(G$5&gt;=$C23,G$5&lt;=$D23),IF($E23="Completed",1,2),0)</f>
        <v>0</v>
      </c>
      <c r="H23" s="1">
        <f>IF(AND(H$5&gt;=$C23,H$5&lt;=$D23),IF($E23="Completed",1,2),0)</f>
        <v>0</v>
      </c>
      <c r="I23" s="1">
        <f>IF(AND(I$5&gt;=$C23,I$5&lt;=$D23),IF($E23="Completed",1,2),0)</f>
        <v>0</v>
      </c>
      <c r="J23" s="1">
        <f>IF(AND(J$5&gt;=$C23,J$5&lt;=$D23),IF($E23="Completed",1,2),0)</f>
        <v>0</v>
      </c>
      <c r="K23" s="1">
        <f>IF(AND(K$5&gt;=$C23,K$5&lt;=$D23),IF($E23="Completed",1,2),0)</f>
        <v>2</v>
      </c>
      <c r="L23" s="1">
        <f>IF(AND(L$5&gt;=$C23,L$5&lt;=$D23),IF($E23="Completed",1,2),0)</f>
        <v>2</v>
      </c>
    </row>
    <row r="24" ht="25" customHeight="1">
      <c r="A24" s="0" t="inlineStr">
        <is>
          <t>T19</t>
        </is>
      </c>
      <c r="B24" s="0" t="inlineStr">
        <is>
          <t>Final report and slide update</t>
        </is>
      </c>
      <c r="C24" s="0">
        <v>6</v>
      </c>
      <c r="D24" s="0">
        <v>6</v>
      </c>
      <c r="E24" s="0" t="inlineStr">
        <is>
          <t>Planned</t>
        </is>
      </c>
      <c r="F24" s="0" t="inlineStr">
        <is>
          <t>T18</t>
        </is>
      </c>
      <c r="G24" s="1">
        <f>IF(AND(G$5&gt;=$C24,G$5&lt;=$D24),IF($E24="Completed",1,2),0)</f>
        <v>0</v>
      </c>
      <c r="H24" s="1">
        <f>IF(AND(H$5&gt;=$C24,H$5&lt;=$D24),IF($E24="Completed",1,2),0)</f>
        <v>0</v>
      </c>
      <c r="I24" s="1">
        <f>IF(AND(I$5&gt;=$C24,I$5&lt;=$D24),IF($E24="Completed",1,2),0)</f>
        <v>0</v>
      </c>
      <c r="J24" s="1">
        <f>IF(AND(J$5&gt;=$C24,J$5&lt;=$D24),IF($E24="Completed",1,2),0)</f>
        <v>0</v>
      </c>
      <c r="K24" s="1">
        <f>IF(AND(K$5&gt;=$C24,K$5&lt;=$D24),IF($E24="Completed",1,2),0)</f>
        <v>0</v>
      </c>
      <c r="L24" s="1">
        <f>IF(AND(L$5&gt;=$C24,L$5&lt;=$D24),IF($E24="Completed",1,2),0)</f>
        <v>2</v>
      </c>
    </row>
    <row r="25" ht="25" customHeight="1">
      <c r="A25" s="0" t="inlineStr">
        <is>
          <t>T20</t>
        </is>
      </c>
      <c r="B25" s="0" t="inlineStr">
        <is>
          <t>Demo rehearsal and submission preparation</t>
        </is>
      </c>
      <c r="C25" s="0">
        <v>6</v>
      </c>
      <c r="D25" s="0">
        <v>6</v>
      </c>
      <c r="E25" s="0" t="inlineStr">
        <is>
          <t>Planned</t>
        </is>
      </c>
      <c r="F25" s="0" t="inlineStr">
        <is>
          <t>T19</t>
        </is>
      </c>
      <c r="G25" s="1">
        <f>IF(AND(G$5&gt;=$C25,G$5&lt;=$D25),IF($E25="Completed",1,2),0)</f>
        <v>0</v>
      </c>
      <c r="H25" s="1">
        <f>IF(AND(H$5&gt;=$C25,H$5&lt;=$D25),IF($E25="Completed",1,2),0)</f>
        <v>0</v>
      </c>
      <c r="I25" s="1">
        <f>IF(AND(I$5&gt;=$C25,I$5&lt;=$D25),IF($E25="Completed",1,2),0)</f>
        <v>0</v>
      </c>
      <c r="J25" s="1">
        <f>IF(AND(J$5&gt;=$C25,J$5&lt;=$D25),IF($E25="Completed",1,2),0)</f>
        <v>0</v>
      </c>
      <c r="K25" s="1">
        <f>IF(AND(K$5&gt;=$C25,K$5&lt;=$D25),IF($E25="Completed",1,2),0)</f>
        <v>0</v>
      </c>
      <c r="L25" s="1">
        <f>IF(AND(L$5&gt;=$C25,L$5&lt;=$D25),IF($E25="Completed",1,2),0)</f>
        <v>2</v>
      </c>
    </row>
  </sheetData>
  <autoFilter ref="A5:L25"/>
  <conditionalFormatting sqref="G6:L25">
    <cfRule type="cellIs" dxfId="0" priority="1" operator="equal">
      <formula>1</formula>
    </cfRule>
    <cfRule type="cellIs" dxfId="1" priority="2" operator="equal">
      <formula>2</formula>
    </cfRule>
  </conditionalFormatting>
  <dataValidations count="1">
    <dataValidation type="whole" operator="between" allowBlank="0" showErrorMessage="1" sqref="C6:D25">
      <formula1>1</formula1>
      <formula2>6</formula2>
    </dataValidation>
  </dataValidations>
  <pageSetup orientation="landscape" paperSize="8" fitToWidth="1" fitToHeight="1"/>
</worksheet>
</file>

<file path=xl/worksheets/sheet2.xml><?xml version="1.0" encoding="utf-8"?>
<worksheet xmlns="http://schemas.openxmlformats.org/spreadsheetml/2006/main">
  <cols>
    <col min="1" max="1" width="20" customWidth="1"/>
    <col min="2" max="2" width="115" customWidth="1"/>
  </cols>
  <sheetData>
    <row r="1">
      <c r="A1" s="0" t="inlineStr">
        <is>
          <t>Schedule notes</t>
        </is>
      </c>
    </row>
    <row r="2">
      <c r="A2" s="0" t="inlineStr">
        <is>
          <t>Scope</t>
        </is>
      </c>
      <c r="B2" s="0" t="inlineStr">
        <is>
          <t>Keyboard-only course prototype; no new model performance is claimed.</t>
        </is>
      </c>
    </row>
    <row r="3">
      <c r="A3" s="0" t="inlineStr">
        <is>
          <t>Week basis</t>
        </is>
      </c>
      <c r="B3" s="0" t="inlineStr">
        <is>
          <t>Six relative weeks follow the journal sequence; calendar dates are not assumed.</t>
        </is>
      </c>
    </row>
    <row r="4">
      <c r="A4" s="0" t="inlineStr">
        <is>
          <t>Completed</t>
        </is>
      </c>
      <c r="B4" s="0" t="inlineStr">
        <is>
          <t>Existing artifact or implementation is present; week allocation is indicative.</t>
        </is>
      </c>
    </row>
    <row r="5">
      <c r="A5" s="0" t="inlineStr">
        <is>
          <t>Planned</t>
        </is>
      </c>
      <c r="B5" s="0" t="inlineStr">
        <is>
          <t>Future work; replace with actual dates/status as it happens.</t>
        </is>
      </c>
    </row>
    <row r="6">
      <c r="A6" s="0" t="inlineStr">
        <is>
          <t>Dependencies</t>
        </is>
      </c>
      <c r="B6" s="0" t="inlineStr">
        <is>
          <t>Task IDs are sequencing guidance; same-week tasks may occur sequentially.</t>
        </is>
      </c>
    </row>
    <row r="7">
      <c r="A7" s="0" t="inlineStr">
        <is>
          <t>Reference</t>
        </is>
      </c>
      <c r="B7" s="0" t="inlineStr">
        <is>
          <t>https://github.com/NamanArora2709/ucs503p-202627-privalens</t>
        </is>
      </c>
    </row>
    <row r="8">
      <c r="A8" s="0" t="inlineStr">
        <is>
          <t>Reference access</t>
        </is>
      </c>
      <c r="B8" s="0" t="inlineStr">
        <is>
          <t>Repository lists a Gantt workbook; individual file could not be retrieved.</t>
        </is>
      </c>
    </row>
    <row r="9">
      <c r="A9" s="0" t="inlineStr">
        <is>
          <t>Legend</t>
        </is>
      </c>
      <c r="B9" s="0" t="inlineStr">
        <is>
          <t>Green = completed; blue = planned.</t>
        </is>
      </c>
    </row>
    <row r="10">
      <c r="A10" s="0" t="inlineStr">
        <is>
          <t>Editing</t>
        </is>
      </c>
      <c r="B10" s="0" t="inlineStr">
        <is>
          <t>Change columns C/D and status Completed or Planned; formula cells recalculate.</t>
        </is>
      </c>
    </row>
    <row r="11">
      <c r="A11" s="0" t="inlineStr">
        <is>
          <t>Preview</t>
        </is>
      </c>
      <c r="B11" s="0" t="inlineStr">
        <is>
          <t>Regenerate SVG/CSV/workbook from docs/tools/generate_planning_assets.py; generation overwrites workbook edits.</t>
        </is>
      </c>
    </row>
  </sheetData>
</worksheet>
</file>